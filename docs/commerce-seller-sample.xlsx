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문내역" sheetId="2" state="visible" r:id="rId2"/>
    <sheet xmlns:r="http://schemas.openxmlformats.org/officeDocument/2006/relationships" name="배송정보" sheetId="3" state="visible" r:id="rId3"/>
    <sheet xmlns:r="http://schemas.openxmlformats.org/officeDocument/2006/relationships" name="재고정보" sheetId="4" state="visible" r:id="rId4"/>
    <sheet xmlns:r="http://schemas.openxmlformats.org/officeDocument/2006/relationships" name="매출정보" sheetId="5" state="visible" r:id="rId5"/>
  </sheets>
  <definedNames>
    <definedName name="_xlnm._FilterDatabase" localSheetId="1" hidden="1">'주문내역'!$A$1:$L$19</definedName>
    <definedName name="_xlnm._FilterDatabase" localSheetId="2" hidden="1">'배송정보'!$A$1:$I$14</definedName>
    <definedName name="_xlnm._FilterDatabase" localSheetId="3" hidden="1">'재고정보'!$A$1:$I$9</definedName>
    <definedName name="_xlnm._FilterDatabase" localSheetId="4" hidden="1">'매출정보'!$A$1:$G$10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203864"/>
      <sz val="14"/>
    </font>
    <font>
      <name val="Arial"/>
      <color rgb="00808080"/>
      <sz val="10"/>
    </font>
    <font>
      <name val="Arial"/>
      <b val="1"/>
      <sz val="11"/>
    </font>
    <font>
      <name val="Arial"/>
      <color rgb="00008000"/>
      <sz val="10"/>
    </font>
    <font>
      <name val="Arial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164" fontId="7" fillId="0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0" fontId="8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pivotButton="0" quotePrefix="0" xfId="0"/>
    <xf numFmtId="164" fontId="1" fillId="0" borderId="1" pivotButton="0" quotePrefix="0" xfId="0"/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온워드유통 — 커머스 셀러 데이터 요약</t>
        </is>
      </c>
    </row>
    <row r="2">
      <c r="A2" s="2" t="inlineStr">
        <is>
          <t>스마트스토어 · 쿠팡 · 11번가 · 자사몰 통합 (셀러 API 샘플)</t>
        </is>
      </c>
    </row>
    <row r="4">
      <c r="A4" s="3" t="inlineStr">
        <is>
          <t>총 매출액</t>
        </is>
      </c>
      <c r="B4" s="4">
        <f>매출정보!C10</f>
        <v/>
      </c>
    </row>
    <row r="5">
      <c r="A5" s="3" t="inlineStr">
        <is>
          <t>총 순이익</t>
        </is>
      </c>
      <c r="B5" s="4">
        <f>매출정보!G10</f>
        <v/>
      </c>
    </row>
    <row r="6">
      <c r="A6" s="3" t="inlineStr">
        <is>
          <t>총 주문건수</t>
        </is>
      </c>
      <c r="B6" s="5">
        <f>COUNTA(주문내역!A2:A100)</f>
        <v/>
      </c>
    </row>
    <row r="7">
      <c r="A7" s="3" t="inlineStr">
        <is>
          <t>평균 객단가</t>
        </is>
      </c>
      <c r="B7" s="4">
        <f>ROUND(매출정보!C10/매출정보!B10,0)</f>
        <v/>
      </c>
    </row>
    <row r="8">
      <c r="A8" s="3" t="inlineStr">
        <is>
          <t>배송중 건수</t>
        </is>
      </c>
      <c r="B8" s="5">
        <f>COUNTIF(배송정보!G2:G100,"배송중")</f>
        <v/>
      </c>
    </row>
    <row r="9">
      <c r="A9" s="3" t="inlineStr">
        <is>
          <t>배송완료 건수</t>
        </is>
      </c>
      <c r="B9" s="5">
        <f>COUNTIF(배송정보!G2:G100,"배송완료")</f>
        <v/>
      </c>
    </row>
    <row r="10">
      <c r="A10" s="3" t="inlineStr">
        <is>
          <t>취소/반품 건수</t>
        </is>
      </c>
      <c r="B10" s="5">
        <f>COUNTIF(주문내역!L2:L100,"취소")+COUNTIF(주문내역!L2:L100,"반품")</f>
        <v/>
      </c>
    </row>
    <row r="11">
      <c r="A11" s="3" t="inlineStr">
        <is>
          <t>재고부족 SKU</t>
        </is>
      </c>
      <c r="B11" s="5">
        <f>COUNTIF(재고정보!I2:I100,"부족")+COUNTIF(재고정보!I2:I100,"품절")</f>
        <v/>
      </c>
    </row>
    <row r="13">
      <c r="A13" s="6" t="inlineStr">
        <is>
          <t>※ 값은 다른 시트(주문내역/배송정보/재고정보/매출정보)를 실시간 참조합니다 — IRO 대시보드가 이 구조로 데이터를 읽습니다.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3" customWidth="1" min="3" max="3"/>
    <col width="9" customWidth="1" min="4" max="4"/>
    <col width="24" customWidth="1" min="5" max="5"/>
    <col width="10" customWidth="1" min="6" max="6"/>
    <col width="6" customWidth="1" min="7" max="7"/>
    <col width="11" customWidth="1" min="8" max="8"/>
    <col width="12" customWidth="1" min="9" max="9"/>
    <col width="9" customWidth="1" min="10" max="10"/>
    <col width="15" customWidth="1" min="11" max="11"/>
    <col width="11" customWidth="1" min="12" max="12"/>
  </cols>
  <sheetData>
    <row r="1">
      <c r="A1" s="7" t="inlineStr">
        <is>
          <t>주문번호</t>
        </is>
      </c>
      <c r="B1" s="7" t="inlineStr">
        <is>
          <t>주문일시</t>
        </is>
      </c>
      <c r="C1" s="7" t="inlineStr">
        <is>
          <t>마켓</t>
        </is>
      </c>
      <c r="D1" s="7" t="inlineStr">
        <is>
          <t>SKU</t>
        </is>
      </c>
      <c r="E1" s="7" t="inlineStr">
        <is>
          <t>상품명</t>
        </is>
      </c>
      <c r="F1" s="7" t="inlineStr">
        <is>
          <t>옵션</t>
        </is>
      </c>
      <c r="G1" s="7" t="inlineStr">
        <is>
          <t>수량</t>
        </is>
      </c>
      <c r="H1" s="7" t="inlineStr">
        <is>
          <t>판매단가</t>
        </is>
      </c>
      <c r="I1" s="7" t="inlineStr">
        <is>
          <t>결제금액</t>
        </is>
      </c>
      <c r="J1" s="7" t="inlineStr">
        <is>
          <t>주문자</t>
        </is>
      </c>
      <c r="K1" s="7" t="inlineStr">
        <is>
          <t>연락처</t>
        </is>
      </c>
      <c r="L1" s="7" t="inlineStr">
        <is>
          <t>주문상태</t>
        </is>
      </c>
    </row>
    <row r="2">
      <c r="A2" s="8" t="inlineStr">
        <is>
          <t>20260602-0001</t>
        </is>
      </c>
      <c r="B2" s="8" t="inlineStr">
        <is>
          <t>2026-06-02 09:14</t>
        </is>
      </c>
      <c r="C2" s="8" t="inlineStr">
        <is>
          <t>스마트스토어</t>
        </is>
      </c>
      <c r="D2" s="8" t="inlineStr">
        <is>
          <t>SKU-001</t>
        </is>
      </c>
      <c r="E2" s="8" t="inlineStr">
        <is>
          <t>제주 감귤즙 100ml x30포</t>
        </is>
      </c>
      <c r="F2" s="8" t="inlineStr">
        <is>
          <t>1박스</t>
        </is>
      </c>
      <c r="G2" s="8" t="n">
        <v>2</v>
      </c>
      <c r="H2" s="9" t="n">
        <v>19900</v>
      </c>
      <c r="I2" s="9">
        <f>G2*H2</f>
        <v/>
      </c>
      <c r="J2" s="8" t="inlineStr">
        <is>
          <t>김민서</t>
        </is>
      </c>
      <c r="K2" s="8" t="inlineStr">
        <is>
          <t>010-2345-6781</t>
        </is>
      </c>
      <c r="L2" s="8" t="inlineStr">
        <is>
          <t>결제완료</t>
        </is>
      </c>
    </row>
    <row r="3">
      <c r="A3" s="8" t="inlineStr">
        <is>
          <t>20260602-0002</t>
        </is>
      </c>
      <c r="B3" s="8" t="inlineStr">
        <is>
          <t>2026-06-02 10:02</t>
        </is>
      </c>
      <c r="C3" s="8" t="inlineStr">
        <is>
          <t>쿠팡</t>
        </is>
      </c>
      <c r="D3" s="8" t="inlineStr">
        <is>
          <t>SKU-007</t>
        </is>
      </c>
      <c r="E3" s="8" t="inlineStr">
        <is>
          <t>제주 한라봉 5kg</t>
        </is>
      </c>
      <c r="F3" s="8" t="inlineStr">
        <is>
          <t>5kg</t>
        </is>
      </c>
      <c r="G3" s="8" t="n">
        <v>1</v>
      </c>
      <c r="H3" s="9" t="n">
        <v>32000</v>
      </c>
      <c r="I3" s="9">
        <f>G3*H3</f>
        <v/>
      </c>
      <c r="J3" s="8" t="inlineStr">
        <is>
          <t>박지훈</t>
        </is>
      </c>
      <c r="K3" s="8" t="inlineStr">
        <is>
          <t>010-3456-7892</t>
        </is>
      </c>
      <c r="L3" s="8" t="inlineStr">
        <is>
          <t>상품준비중</t>
        </is>
      </c>
    </row>
    <row r="4">
      <c r="A4" s="8" t="inlineStr">
        <is>
          <t>20260602-0003</t>
        </is>
      </c>
      <c r="B4" s="8" t="inlineStr">
        <is>
          <t>2026-06-02 11:37</t>
        </is>
      </c>
      <c r="C4" s="8" t="inlineStr">
        <is>
          <t>11번가</t>
        </is>
      </c>
      <c r="D4" s="8" t="inlineStr">
        <is>
          <t>SKU-003</t>
        </is>
      </c>
      <c r="E4" s="8" t="inlineStr">
        <is>
          <t>친환경 주방세제 1L</t>
        </is>
      </c>
      <c r="F4" s="8" t="inlineStr">
        <is>
          <t>2개세트</t>
        </is>
      </c>
      <c r="G4" s="8" t="n">
        <v>3</v>
      </c>
      <c r="H4" s="9" t="n">
        <v>12900</v>
      </c>
      <c r="I4" s="9">
        <f>G4*H4</f>
        <v/>
      </c>
      <c r="J4" s="8" t="inlineStr">
        <is>
          <t>이서연</t>
        </is>
      </c>
      <c r="K4" s="8" t="inlineStr">
        <is>
          <t>010-4567-8903</t>
        </is>
      </c>
      <c r="L4" s="8" t="inlineStr">
        <is>
          <t>결제완료</t>
        </is>
      </c>
    </row>
    <row r="5">
      <c r="A5" s="8" t="inlineStr">
        <is>
          <t>20260601-0007</t>
        </is>
      </c>
      <c r="B5" s="8" t="inlineStr">
        <is>
          <t>2026-06-01 14:21</t>
        </is>
      </c>
      <c r="C5" s="8" t="inlineStr">
        <is>
          <t>자사몰</t>
        </is>
      </c>
      <c r="D5" s="8" t="inlineStr">
        <is>
          <t>SKU-005</t>
        </is>
      </c>
      <c r="E5" s="8" t="inlineStr">
        <is>
          <t>국산 들기름 500ml</t>
        </is>
      </c>
      <c r="F5" s="8" t="inlineStr">
        <is>
          <t>500ml</t>
        </is>
      </c>
      <c r="G5" s="8" t="n">
        <v>2</v>
      </c>
      <c r="H5" s="9" t="n">
        <v>16900</v>
      </c>
      <c r="I5" s="9">
        <f>G5*H5</f>
        <v/>
      </c>
      <c r="J5" s="8" t="inlineStr">
        <is>
          <t>정우진</t>
        </is>
      </c>
      <c r="K5" s="8" t="inlineStr">
        <is>
          <t>010-5678-9014</t>
        </is>
      </c>
      <c r="L5" s="8" t="inlineStr">
        <is>
          <t>배송중</t>
        </is>
      </c>
    </row>
    <row r="6">
      <c r="A6" s="8" t="inlineStr">
        <is>
          <t>20260601-0006</t>
        </is>
      </c>
      <c r="B6" s="8" t="inlineStr">
        <is>
          <t>2026-06-01 13:05</t>
        </is>
      </c>
      <c r="C6" s="8" t="inlineStr">
        <is>
          <t>스마트스토어</t>
        </is>
      </c>
      <c r="D6" s="8" t="inlineStr">
        <is>
          <t>SKU-008</t>
        </is>
      </c>
      <c r="E6" s="8" t="inlineStr">
        <is>
          <t>발효 흑마늘즙 70ml x30</t>
        </is>
      </c>
      <c r="F6" s="8" t="inlineStr">
        <is>
          <t>1박스</t>
        </is>
      </c>
      <c r="G6" s="8" t="n">
        <v>1</v>
      </c>
      <c r="H6" s="9" t="n">
        <v>25900</v>
      </c>
      <c r="I6" s="9">
        <f>G6*H6</f>
        <v/>
      </c>
      <c r="J6" s="8" t="inlineStr">
        <is>
          <t>최예린</t>
        </is>
      </c>
      <c r="K6" s="8" t="inlineStr">
        <is>
          <t>010-6789-0125</t>
        </is>
      </c>
      <c r="L6" s="8" t="inlineStr">
        <is>
          <t>배송중</t>
        </is>
      </c>
    </row>
    <row r="7">
      <c r="A7" s="8" t="inlineStr">
        <is>
          <t>20260601-0005</t>
        </is>
      </c>
      <c r="B7" s="8" t="inlineStr">
        <is>
          <t>2026-06-01 09:48</t>
        </is>
      </c>
      <c r="C7" s="8" t="inlineStr">
        <is>
          <t>쿠팡</t>
        </is>
      </c>
      <c r="D7" s="8" t="inlineStr">
        <is>
          <t>SKU-002</t>
        </is>
      </c>
      <c r="E7" s="8" t="inlineStr">
        <is>
          <t>유기농 현미 5kg</t>
        </is>
      </c>
      <c r="F7" s="8" t="inlineStr">
        <is>
          <t>5kg</t>
        </is>
      </c>
      <c r="G7" s="8" t="n">
        <v>2</v>
      </c>
      <c r="H7" s="9" t="n">
        <v>23000</v>
      </c>
      <c r="I7" s="9">
        <f>G7*H7</f>
        <v/>
      </c>
      <c r="J7" s="8" t="inlineStr">
        <is>
          <t>한도윤</t>
        </is>
      </c>
      <c r="K7" s="8" t="inlineStr">
        <is>
          <t>010-7890-1236</t>
        </is>
      </c>
      <c r="L7" s="8" t="inlineStr">
        <is>
          <t>배송중</t>
        </is>
      </c>
    </row>
    <row r="8">
      <c r="A8" s="8" t="inlineStr">
        <is>
          <t>20260531-0009</t>
        </is>
      </c>
      <c r="B8" s="8" t="inlineStr">
        <is>
          <t>2026-05-31 16:33</t>
        </is>
      </c>
      <c r="C8" s="8" t="inlineStr">
        <is>
          <t>11번가</t>
        </is>
      </c>
      <c r="D8" s="8" t="inlineStr">
        <is>
          <t>SKU-006</t>
        </is>
      </c>
      <c r="E8" s="8" t="inlineStr">
        <is>
          <t>히말라야 핑크솔트 1kg</t>
        </is>
      </c>
      <c r="F8" s="8" t="inlineStr">
        <is>
          <t>1kg</t>
        </is>
      </c>
      <c r="G8" s="8" t="n">
        <v>4</v>
      </c>
      <c r="H8" s="9" t="n">
        <v>8900</v>
      </c>
      <c r="I8" s="9">
        <f>G8*H8</f>
        <v/>
      </c>
      <c r="J8" s="8" t="inlineStr">
        <is>
          <t>오하준</t>
        </is>
      </c>
      <c r="K8" s="8" t="inlineStr">
        <is>
          <t>010-8901-2347</t>
        </is>
      </c>
      <c r="L8" s="8" t="inlineStr">
        <is>
          <t>배송완료</t>
        </is>
      </c>
    </row>
    <row r="9">
      <c r="A9" s="8" t="inlineStr">
        <is>
          <t>20260531-0008</t>
        </is>
      </c>
      <c r="B9" s="8" t="inlineStr">
        <is>
          <t>2026-05-31 12:10</t>
        </is>
      </c>
      <c r="C9" s="8" t="inlineStr">
        <is>
          <t>자사몰</t>
        </is>
      </c>
      <c r="D9" s="8" t="inlineStr">
        <is>
          <t>SKU-001</t>
        </is>
      </c>
      <c r="E9" s="8" t="inlineStr">
        <is>
          <t>제주 감귤즙 100ml x30포</t>
        </is>
      </c>
      <c r="F9" s="8" t="inlineStr">
        <is>
          <t>1박스</t>
        </is>
      </c>
      <c r="G9" s="8" t="n">
        <v>1</v>
      </c>
      <c r="H9" s="9" t="n">
        <v>19900</v>
      </c>
      <c r="I9" s="9">
        <f>G9*H9</f>
        <v/>
      </c>
      <c r="J9" s="8" t="inlineStr">
        <is>
          <t>임수아</t>
        </is>
      </c>
      <c r="K9" s="8" t="inlineStr">
        <is>
          <t>010-9012-3458</t>
        </is>
      </c>
      <c r="L9" s="8" t="inlineStr">
        <is>
          <t>배송완료</t>
        </is>
      </c>
    </row>
    <row r="10">
      <c r="A10" s="8" t="inlineStr">
        <is>
          <t>20260530-0012</t>
        </is>
      </c>
      <c r="B10" s="8" t="inlineStr">
        <is>
          <t>2026-05-30 18:50</t>
        </is>
      </c>
      <c r="C10" s="8" t="inlineStr">
        <is>
          <t>스마트스토어</t>
        </is>
      </c>
      <c r="D10" s="8" t="inlineStr">
        <is>
          <t>SKU-004</t>
        </is>
      </c>
      <c r="E10" s="8" t="inlineStr">
        <is>
          <t>강원 곤드레나물 500g</t>
        </is>
      </c>
      <c r="F10" s="8" t="inlineStr">
        <is>
          <t>500g</t>
        </is>
      </c>
      <c r="G10" s="8" t="n">
        <v>5</v>
      </c>
      <c r="H10" s="9" t="n">
        <v>9900</v>
      </c>
      <c r="I10" s="9">
        <f>G10*H10</f>
        <v/>
      </c>
      <c r="J10" s="8" t="inlineStr">
        <is>
          <t>강시우</t>
        </is>
      </c>
      <c r="K10" s="8" t="inlineStr">
        <is>
          <t>010-0123-4569</t>
        </is>
      </c>
      <c r="L10" s="8" t="inlineStr">
        <is>
          <t>배송완료</t>
        </is>
      </c>
    </row>
    <row r="11">
      <c r="A11" s="8" t="inlineStr">
        <is>
          <t>20260530-0011</t>
        </is>
      </c>
      <c r="B11" s="8" t="inlineStr">
        <is>
          <t>2026-05-30 11:22</t>
        </is>
      </c>
      <c r="C11" s="8" t="inlineStr">
        <is>
          <t>쿠팡</t>
        </is>
      </c>
      <c r="D11" s="8" t="inlineStr">
        <is>
          <t>SKU-007</t>
        </is>
      </c>
      <c r="E11" s="8" t="inlineStr">
        <is>
          <t>제주 한라봉 5kg</t>
        </is>
      </c>
      <c r="F11" s="8" t="inlineStr">
        <is>
          <t>5kg</t>
        </is>
      </c>
      <c r="G11" s="8" t="n">
        <v>2</v>
      </c>
      <c r="H11" s="9" t="n">
        <v>32000</v>
      </c>
      <c r="I11" s="9">
        <f>G11*H11</f>
        <v/>
      </c>
      <c r="J11" s="8" t="inlineStr">
        <is>
          <t>윤채원</t>
        </is>
      </c>
      <c r="K11" s="8" t="inlineStr">
        <is>
          <t>010-1234-5670</t>
        </is>
      </c>
      <c r="L11" s="8" t="inlineStr">
        <is>
          <t>배송완료</t>
        </is>
      </c>
    </row>
    <row r="12">
      <c r="A12" s="8" t="inlineStr">
        <is>
          <t>20260529-0014</t>
        </is>
      </c>
      <c r="B12" s="8" t="inlineStr">
        <is>
          <t>2026-05-29 15:09</t>
        </is>
      </c>
      <c r="C12" s="8" t="inlineStr">
        <is>
          <t>11번가</t>
        </is>
      </c>
      <c r="D12" s="8" t="inlineStr">
        <is>
          <t>SKU-005</t>
        </is>
      </c>
      <c r="E12" s="8" t="inlineStr">
        <is>
          <t>국산 들기름 500ml</t>
        </is>
      </c>
      <c r="F12" s="8" t="inlineStr">
        <is>
          <t>500ml</t>
        </is>
      </c>
      <c r="G12" s="8" t="n">
        <v>1</v>
      </c>
      <c r="H12" s="9" t="n">
        <v>16900</v>
      </c>
      <c r="I12" s="9">
        <f>G12*H12</f>
        <v/>
      </c>
      <c r="J12" s="8" t="inlineStr">
        <is>
          <t>서준호</t>
        </is>
      </c>
      <c r="K12" s="8" t="inlineStr">
        <is>
          <t>010-2345-6782</t>
        </is>
      </c>
      <c r="L12" s="8" t="inlineStr">
        <is>
          <t>취소</t>
        </is>
      </c>
    </row>
    <row r="13">
      <c r="A13" s="8" t="inlineStr">
        <is>
          <t>20260529-0013</t>
        </is>
      </c>
      <c r="B13" s="8" t="inlineStr">
        <is>
          <t>2026-05-29 10:41</t>
        </is>
      </c>
      <c r="C13" s="8" t="inlineStr">
        <is>
          <t>자사몰</t>
        </is>
      </c>
      <c r="D13" s="8" t="inlineStr">
        <is>
          <t>SKU-008</t>
        </is>
      </c>
      <c r="E13" s="8" t="inlineStr">
        <is>
          <t>발효 흑마늘즙 70ml x30</t>
        </is>
      </c>
      <c r="F13" s="8" t="inlineStr">
        <is>
          <t>1박스</t>
        </is>
      </c>
      <c r="G13" s="8" t="n">
        <v>2</v>
      </c>
      <c r="H13" s="9" t="n">
        <v>25900</v>
      </c>
      <c r="I13" s="9">
        <f>G13*H13</f>
        <v/>
      </c>
      <c r="J13" s="8" t="inlineStr">
        <is>
          <t>배지민</t>
        </is>
      </c>
      <c r="K13" s="8" t="inlineStr">
        <is>
          <t>010-3456-7893</t>
        </is>
      </c>
      <c r="L13" s="8" t="inlineStr">
        <is>
          <t>배송완료</t>
        </is>
      </c>
    </row>
    <row r="14">
      <c r="A14" s="8" t="inlineStr">
        <is>
          <t>20260528-0016</t>
        </is>
      </c>
      <c r="B14" s="8" t="inlineStr">
        <is>
          <t>2026-05-28 17:28</t>
        </is>
      </c>
      <c r="C14" s="8" t="inlineStr">
        <is>
          <t>스마트스토어</t>
        </is>
      </c>
      <c r="D14" s="8" t="inlineStr">
        <is>
          <t>SKU-003</t>
        </is>
      </c>
      <c r="E14" s="8" t="inlineStr">
        <is>
          <t>친환경 주방세제 1L</t>
        </is>
      </c>
      <c r="F14" s="8" t="inlineStr">
        <is>
          <t>2개세트</t>
        </is>
      </c>
      <c r="G14" s="8" t="n">
        <v>1</v>
      </c>
      <c r="H14" s="9" t="n">
        <v>12900</v>
      </c>
      <c r="I14" s="9">
        <f>G14*H14</f>
        <v/>
      </c>
      <c r="J14" s="8" t="inlineStr">
        <is>
          <t>신아린</t>
        </is>
      </c>
      <c r="K14" s="8" t="inlineStr">
        <is>
          <t>010-4567-8904</t>
        </is>
      </c>
      <c r="L14" s="8" t="inlineStr">
        <is>
          <t>반품</t>
        </is>
      </c>
    </row>
    <row r="15">
      <c r="A15" s="8" t="inlineStr">
        <is>
          <t>20260528-0015</t>
        </is>
      </c>
      <c r="B15" s="8" t="inlineStr">
        <is>
          <t>2026-05-28 09:55</t>
        </is>
      </c>
      <c r="C15" s="8" t="inlineStr">
        <is>
          <t>쿠팡</t>
        </is>
      </c>
      <c r="D15" s="8" t="inlineStr">
        <is>
          <t>SKU-002</t>
        </is>
      </c>
      <c r="E15" s="8" t="inlineStr">
        <is>
          <t>유기농 현미 5kg</t>
        </is>
      </c>
      <c r="F15" s="8" t="inlineStr">
        <is>
          <t>5kg</t>
        </is>
      </c>
      <c r="G15" s="8" t="n">
        <v>3</v>
      </c>
      <c r="H15" s="9" t="n">
        <v>23000</v>
      </c>
      <c r="I15" s="9">
        <f>G15*H15</f>
        <v/>
      </c>
      <c r="J15" s="8" t="inlineStr">
        <is>
          <t>문건우</t>
        </is>
      </c>
      <c r="K15" s="8" t="inlineStr">
        <is>
          <t>010-5678-9015</t>
        </is>
      </c>
      <c r="L15" s="8" t="inlineStr">
        <is>
          <t>배송완료</t>
        </is>
      </c>
    </row>
    <row r="16">
      <c r="A16" s="8" t="inlineStr">
        <is>
          <t>20260527-0019</t>
        </is>
      </c>
      <c r="B16" s="8" t="inlineStr">
        <is>
          <t>2026-05-27 14:02</t>
        </is>
      </c>
      <c r="C16" s="8" t="inlineStr">
        <is>
          <t>11번가</t>
        </is>
      </c>
      <c r="D16" s="8" t="inlineStr">
        <is>
          <t>SKU-001</t>
        </is>
      </c>
      <c r="E16" s="8" t="inlineStr">
        <is>
          <t>제주 감귤즙 100ml x30포</t>
        </is>
      </c>
      <c r="F16" s="8" t="inlineStr">
        <is>
          <t>1박스</t>
        </is>
      </c>
      <c r="G16" s="8" t="n">
        <v>4</v>
      </c>
      <c r="H16" s="9" t="n">
        <v>19900</v>
      </c>
      <c r="I16" s="9">
        <f>G16*H16</f>
        <v/>
      </c>
      <c r="J16" s="8" t="inlineStr">
        <is>
          <t>조유나</t>
        </is>
      </c>
      <c r="K16" s="8" t="inlineStr">
        <is>
          <t>010-6789-0126</t>
        </is>
      </c>
      <c r="L16" s="8" t="inlineStr">
        <is>
          <t>배송완료</t>
        </is>
      </c>
    </row>
    <row r="17">
      <c r="A17" s="8" t="inlineStr">
        <is>
          <t>20260527-0018</t>
        </is>
      </c>
      <c r="B17" s="8" t="inlineStr">
        <is>
          <t>2026-05-27 11:18</t>
        </is>
      </c>
      <c r="C17" s="8" t="inlineStr">
        <is>
          <t>자사몰</t>
        </is>
      </c>
      <c r="D17" s="8" t="inlineStr">
        <is>
          <t>SKU-006</t>
        </is>
      </c>
      <c r="E17" s="8" t="inlineStr">
        <is>
          <t>히말라야 핑크솔트 1kg</t>
        </is>
      </c>
      <c r="F17" s="8" t="inlineStr">
        <is>
          <t>1kg</t>
        </is>
      </c>
      <c r="G17" s="8" t="n">
        <v>2</v>
      </c>
      <c r="H17" s="9" t="n">
        <v>8900</v>
      </c>
      <c r="I17" s="9">
        <f>G17*H17</f>
        <v/>
      </c>
      <c r="J17" s="8" t="inlineStr">
        <is>
          <t>홍시현</t>
        </is>
      </c>
      <c r="K17" s="8" t="inlineStr">
        <is>
          <t>010-7890-1237</t>
        </is>
      </c>
      <c r="L17" s="8" t="inlineStr">
        <is>
          <t>배송완료</t>
        </is>
      </c>
    </row>
    <row r="18">
      <c r="A18" s="8" t="inlineStr">
        <is>
          <t>20260526-0021</t>
        </is>
      </c>
      <c r="B18" s="8" t="inlineStr">
        <is>
          <t>2026-05-26 16:44</t>
        </is>
      </c>
      <c r="C18" s="8" t="inlineStr">
        <is>
          <t>스마트스토어</t>
        </is>
      </c>
      <c r="D18" s="8" t="inlineStr">
        <is>
          <t>SKU-007</t>
        </is>
      </c>
      <c r="E18" s="8" t="inlineStr">
        <is>
          <t>제주 한라봉 5kg</t>
        </is>
      </c>
      <c r="F18" s="8" t="inlineStr">
        <is>
          <t>5kg</t>
        </is>
      </c>
      <c r="G18" s="8" t="n">
        <v>1</v>
      </c>
      <c r="H18" s="9" t="n">
        <v>32000</v>
      </c>
      <c r="I18" s="9">
        <f>G18*H18</f>
        <v/>
      </c>
      <c r="J18" s="8" t="inlineStr">
        <is>
          <t>권나경</t>
        </is>
      </c>
      <c r="K18" s="8" t="inlineStr">
        <is>
          <t>010-8901-2348</t>
        </is>
      </c>
      <c r="L18" s="8" t="inlineStr">
        <is>
          <t>배송완료</t>
        </is>
      </c>
    </row>
    <row r="19">
      <c r="A19" s="8" t="inlineStr">
        <is>
          <t>20260526-0020</t>
        </is>
      </c>
      <c r="B19" s="8" t="inlineStr">
        <is>
          <t>2026-05-26 10:30</t>
        </is>
      </c>
      <c r="C19" s="8" t="inlineStr">
        <is>
          <t>쿠팡</t>
        </is>
      </c>
      <c r="D19" s="8" t="inlineStr">
        <is>
          <t>SKU-004</t>
        </is>
      </c>
      <c r="E19" s="8" t="inlineStr">
        <is>
          <t>강원 곤드레나물 500g</t>
        </is>
      </c>
      <c r="F19" s="8" t="inlineStr">
        <is>
          <t>500g</t>
        </is>
      </c>
      <c r="G19" s="8" t="n">
        <v>6</v>
      </c>
      <c r="H19" s="9" t="n">
        <v>9900</v>
      </c>
      <c r="I19" s="9">
        <f>G19*H19</f>
        <v/>
      </c>
      <c r="J19" s="8" t="inlineStr">
        <is>
          <t>남도현</t>
        </is>
      </c>
      <c r="K19" s="8" t="inlineStr">
        <is>
          <t>010-9012-3459</t>
        </is>
      </c>
      <c r="L19" s="8" t="inlineStr">
        <is>
          <t>배송완료</t>
        </is>
      </c>
    </row>
  </sheetData>
  <autoFilter ref="A1:L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34" customWidth="1" min="3" max="3"/>
    <col width="12" customWidth="1" min="4" max="4"/>
    <col width="15" customWidth="1" min="5" max="5"/>
    <col width="12" customWidth="1" min="6" max="6"/>
    <col width="10" customWidth="1" min="7" max="7"/>
    <col width="12" customWidth="1" min="8" max="8"/>
    <col width="14" customWidth="1" min="9" max="9"/>
  </cols>
  <sheetData>
    <row r="1">
      <c r="A1" s="7" t="inlineStr">
        <is>
          <t>주문번호</t>
        </is>
      </c>
      <c r="B1" s="7" t="inlineStr">
        <is>
          <t>수령인</t>
        </is>
      </c>
      <c r="C1" s="7" t="inlineStr">
        <is>
          <t>주소</t>
        </is>
      </c>
      <c r="D1" s="7" t="inlineStr">
        <is>
          <t>택배사</t>
        </is>
      </c>
      <c r="E1" s="7" t="inlineStr">
        <is>
          <t>운송장번호</t>
        </is>
      </c>
      <c r="F1" s="7" t="inlineStr">
        <is>
          <t>발송일</t>
        </is>
      </c>
      <c r="G1" s="7" t="inlineStr">
        <is>
          <t>배송상태</t>
        </is>
      </c>
      <c r="H1" s="7" t="inlineStr">
        <is>
          <t>예상도착</t>
        </is>
      </c>
      <c r="I1" s="7" t="inlineStr">
        <is>
          <t>배송메모</t>
        </is>
      </c>
    </row>
    <row r="2">
      <c r="A2" s="8" t="inlineStr">
        <is>
          <t>20260601-0007</t>
        </is>
      </c>
      <c r="B2" s="8" t="inlineStr">
        <is>
          <t>정우진</t>
        </is>
      </c>
      <c r="C2" s="8" t="inlineStr">
        <is>
          <t>서울 강남구 테헤란로 152</t>
        </is>
      </c>
      <c r="D2" s="8" t="inlineStr">
        <is>
          <t>CJ대한통운</t>
        </is>
      </c>
      <c r="E2" s="8" t="inlineStr">
        <is>
          <t>612345678901</t>
        </is>
      </c>
      <c r="F2" s="8" t="inlineStr">
        <is>
          <t>2026-06-01</t>
        </is>
      </c>
      <c r="G2" s="8" t="inlineStr">
        <is>
          <t>배송중</t>
        </is>
      </c>
      <c r="H2" s="8" t="inlineStr">
        <is>
          <t>2026-06-03</t>
        </is>
      </c>
      <c r="I2" s="8" t="inlineStr">
        <is>
          <t>부재시 경비실</t>
        </is>
      </c>
    </row>
    <row r="3">
      <c r="A3" s="8" t="inlineStr">
        <is>
          <t>20260601-0006</t>
        </is>
      </c>
      <c r="B3" s="8" t="inlineStr">
        <is>
          <t>최예린</t>
        </is>
      </c>
      <c r="C3" s="8" t="inlineStr">
        <is>
          <t>경기 성남시 분당구 판교로 255</t>
        </is>
      </c>
      <c r="D3" s="8" t="inlineStr">
        <is>
          <t>롯데택배</t>
        </is>
      </c>
      <c r="E3" s="8" t="inlineStr">
        <is>
          <t>312345678902</t>
        </is>
      </c>
      <c r="F3" s="8" t="inlineStr">
        <is>
          <t>2026-06-01</t>
        </is>
      </c>
      <c r="G3" s="8" t="inlineStr">
        <is>
          <t>배송중</t>
        </is>
      </c>
      <c r="H3" s="8" t="inlineStr">
        <is>
          <t>2026-06-03</t>
        </is>
      </c>
      <c r="I3" s="8" t="inlineStr"/>
    </row>
    <row r="4">
      <c r="A4" s="8" t="inlineStr">
        <is>
          <t>20260601-0005</t>
        </is>
      </c>
      <c r="B4" s="8" t="inlineStr">
        <is>
          <t>한도윤</t>
        </is>
      </c>
      <c r="C4" s="8" t="inlineStr">
        <is>
          <t>부산 해운대구 우동 1394</t>
        </is>
      </c>
      <c r="D4" s="8" t="inlineStr">
        <is>
          <t>한진택배</t>
        </is>
      </c>
      <c r="E4" s="8" t="inlineStr">
        <is>
          <t>412345678903</t>
        </is>
      </c>
      <c r="F4" s="8" t="inlineStr">
        <is>
          <t>2026-06-01</t>
        </is>
      </c>
      <c r="G4" s="8" t="inlineStr">
        <is>
          <t>배송중</t>
        </is>
      </c>
      <c r="H4" s="8" t="inlineStr">
        <is>
          <t>2026-06-04</t>
        </is>
      </c>
      <c r="I4" s="8" t="inlineStr">
        <is>
          <t>문 앞</t>
        </is>
      </c>
    </row>
    <row r="5">
      <c r="A5" s="8" t="inlineStr">
        <is>
          <t>20260531-0009</t>
        </is>
      </c>
      <c r="B5" s="8" t="inlineStr">
        <is>
          <t>오하준</t>
        </is>
      </c>
      <c r="C5" s="8" t="inlineStr">
        <is>
          <t>대구 수성구 동대구로 351</t>
        </is>
      </c>
      <c r="D5" s="8" t="inlineStr">
        <is>
          <t>CJ대한통운</t>
        </is>
      </c>
      <c r="E5" s="8" t="inlineStr">
        <is>
          <t>612345678904</t>
        </is>
      </c>
      <c r="F5" s="8" t="inlineStr">
        <is>
          <t>2026-05-31</t>
        </is>
      </c>
      <c r="G5" s="8" t="inlineStr">
        <is>
          <t>배송완료</t>
        </is>
      </c>
      <c r="H5" s="8" t="inlineStr">
        <is>
          <t>2026-06-02</t>
        </is>
      </c>
      <c r="I5" s="8" t="inlineStr">
        <is>
          <t>수령완료</t>
        </is>
      </c>
    </row>
    <row r="6">
      <c r="A6" s="8" t="inlineStr">
        <is>
          <t>20260531-0008</t>
        </is>
      </c>
      <c r="B6" s="8" t="inlineStr">
        <is>
          <t>임수아</t>
        </is>
      </c>
      <c r="C6" s="8" t="inlineStr">
        <is>
          <t>인천 연수구 송도과학로 32</t>
        </is>
      </c>
      <c r="D6" s="8" t="inlineStr">
        <is>
          <t>우체국택배</t>
        </is>
      </c>
      <c r="E6" s="8" t="inlineStr">
        <is>
          <t>112345678905</t>
        </is>
      </c>
      <c r="F6" s="8" t="inlineStr">
        <is>
          <t>2026-05-31</t>
        </is>
      </c>
      <c r="G6" s="8" t="inlineStr">
        <is>
          <t>배송완료</t>
        </is>
      </c>
      <c r="H6" s="8" t="inlineStr">
        <is>
          <t>2026-06-02</t>
        </is>
      </c>
      <c r="I6" s="8" t="inlineStr"/>
    </row>
    <row r="7">
      <c r="A7" s="8" t="inlineStr">
        <is>
          <t>20260530-0012</t>
        </is>
      </c>
      <c r="B7" s="8" t="inlineStr">
        <is>
          <t>강시우</t>
        </is>
      </c>
      <c r="C7" s="8" t="inlineStr">
        <is>
          <t>광주 서구 상무중앙로 110</t>
        </is>
      </c>
      <c r="D7" s="8" t="inlineStr">
        <is>
          <t>롯데택배</t>
        </is>
      </c>
      <c r="E7" s="8" t="inlineStr">
        <is>
          <t>312345678906</t>
        </is>
      </c>
      <c r="F7" s="8" t="inlineStr">
        <is>
          <t>2026-05-30</t>
        </is>
      </c>
      <c r="G7" s="8" t="inlineStr">
        <is>
          <t>배송완료</t>
        </is>
      </c>
      <c r="H7" s="8" t="inlineStr">
        <is>
          <t>2026-06-01</t>
        </is>
      </c>
      <c r="I7" s="8" t="inlineStr">
        <is>
          <t>경비실 보관</t>
        </is>
      </c>
    </row>
    <row r="8">
      <c r="A8" s="8" t="inlineStr">
        <is>
          <t>20260530-0011</t>
        </is>
      </c>
      <c r="B8" s="8" t="inlineStr">
        <is>
          <t>윤채원</t>
        </is>
      </c>
      <c r="C8" s="8" t="inlineStr">
        <is>
          <t>대전 유성구 대학로 99</t>
        </is>
      </c>
      <c r="D8" s="8" t="inlineStr">
        <is>
          <t>CJ대한통운</t>
        </is>
      </c>
      <c r="E8" s="8" t="inlineStr">
        <is>
          <t>612345678907</t>
        </is>
      </c>
      <c r="F8" s="8" t="inlineStr">
        <is>
          <t>2026-05-30</t>
        </is>
      </c>
      <c r="G8" s="8" t="inlineStr">
        <is>
          <t>배송완료</t>
        </is>
      </c>
      <c r="H8" s="8" t="inlineStr">
        <is>
          <t>2026-06-01</t>
        </is>
      </c>
      <c r="I8" s="8" t="inlineStr"/>
    </row>
    <row r="9">
      <c r="A9" s="8" t="inlineStr">
        <is>
          <t>20260529-0013</t>
        </is>
      </c>
      <c r="B9" s="8" t="inlineStr">
        <is>
          <t>배지민</t>
        </is>
      </c>
      <c r="C9" s="8" t="inlineStr">
        <is>
          <t>서울 마포구 월드컵북로 396</t>
        </is>
      </c>
      <c r="D9" s="8" t="inlineStr">
        <is>
          <t>한진택배</t>
        </is>
      </c>
      <c r="E9" s="8" t="inlineStr">
        <is>
          <t>412345678908</t>
        </is>
      </c>
      <c r="F9" s="8" t="inlineStr">
        <is>
          <t>2026-05-29</t>
        </is>
      </c>
      <c r="G9" s="8" t="inlineStr">
        <is>
          <t>배송완료</t>
        </is>
      </c>
      <c r="H9" s="8" t="inlineStr">
        <is>
          <t>2026-05-31</t>
        </is>
      </c>
      <c r="I9" s="8" t="inlineStr">
        <is>
          <t>문 앞</t>
        </is>
      </c>
    </row>
    <row r="10">
      <c r="A10" s="8" t="inlineStr">
        <is>
          <t>20260528-0015</t>
        </is>
      </c>
      <c r="B10" s="8" t="inlineStr">
        <is>
          <t>문건우</t>
        </is>
      </c>
      <c r="C10" s="8" t="inlineStr">
        <is>
          <t>경기 수원시 영통구 광교로 145</t>
        </is>
      </c>
      <c r="D10" s="8" t="inlineStr">
        <is>
          <t>CJ대한통운</t>
        </is>
      </c>
      <c r="E10" s="8" t="inlineStr">
        <is>
          <t>612345678909</t>
        </is>
      </c>
      <c r="F10" s="8" t="inlineStr">
        <is>
          <t>2026-05-28</t>
        </is>
      </c>
      <c r="G10" s="8" t="inlineStr">
        <is>
          <t>배송완료</t>
        </is>
      </c>
      <c r="H10" s="8" t="inlineStr">
        <is>
          <t>2026-05-30</t>
        </is>
      </c>
      <c r="I10" s="8" t="inlineStr"/>
    </row>
    <row r="11">
      <c r="A11" s="8" t="inlineStr">
        <is>
          <t>20260527-0019</t>
        </is>
      </c>
      <c r="B11" s="8" t="inlineStr">
        <is>
          <t>조유나</t>
        </is>
      </c>
      <c r="C11" s="8" t="inlineStr">
        <is>
          <t>울산 남구 삼산로 282</t>
        </is>
      </c>
      <c r="D11" s="8" t="inlineStr">
        <is>
          <t>롯데택배</t>
        </is>
      </c>
      <c r="E11" s="8" t="inlineStr">
        <is>
          <t>312345678910</t>
        </is>
      </c>
      <c r="F11" s="8" t="inlineStr">
        <is>
          <t>2026-05-27</t>
        </is>
      </c>
      <c r="G11" s="8" t="inlineStr">
        <is>
          <t>배송완료</t>
        </is>
      </c>
      <c r="H11" s="8" t="inlineStr">
        <is>
          <t>2026-05-29</t>
        </is>
      </c>
      <c r="I11" s="8" t="inlineStr"/>
    </row>
    <row r="12">
      <c r="A12" s="8" t="inlineStr">
        <is>
          <t>20260527-0018</t>
        </is>
      </c>
      <c r="B12" s="8" t="inlineStr">
        <is>
          <t>홍시현</t>
        </is>
      </c>
      <c r="C12" s="8" t="inlineStr">
        <is>
          <t>서울 송파구 올림픽로 300</t>
        </is>
      </c>
      <c r="D12" s="8" t="inlineStr">
        <is>
          <t>우체국택배</t>
        </is>
      </c>
      <c r="E12" s="8" t="inlineStr">
        <is>
          <t>112345678911</t>
        </is>
      </c>
      <c r="F12" s="8" t="inlineStr">
        <is>
          <t>2026-05-27</t>
        </is>
      </c>
      <c r="G12" s="8" t="inlineStr">
        <is>
          <t>배송완료</t>
        </is>
      </c>
      <c r="H12" s="8" t="inlineStr">
        <is>
          <t>2026-05-29</t>
        </is>
      </c>
      <c r="I12" s="8" t="inlineStr">
        <is>
          <t>무인택배함</t>
        </is>
      </c>
    </row>
    <row r="13">
      <c r="A13" s="8" t="inlineStr">
        <is>
          <t>20260526-0021</t>
        </is>
      </c>
      <c r="B13" s="8" t="inlineStr">
        <is>
          <t>권나경</t>
        </is>
      </c>
      <c r="C13" s="8" t="inlineStr">
        <is>
          <t>제주 제주시 첨단로 242</t>
        </is>
      </c>
      <c r="D13" s="8" t="inlineStr">
        <is>
          <t>CJ대한통운</t>
        </is>
      </c>
      <c r="E13" s="8" t="inlineStr">
        <is>
          <t>612345678912</t>
        </is>
      </c>
      <c r="F13" s="8" t="inlineStr">
        <is>
          <t>2026-05-26</t>
        </is>
      </c>
      <c r="G13" s="8" t="inlineStr">
        <is>
          <t>배송완료</t>
        </is>
      </c>
      <c r="H13" s="8" t="inlineStr">
        <is>
          <t>2026-05-29</t>
        </is>
      </c>
      <c r="I13" s="8" t="inlineStr">
        <is>
          <t>항공배송</t>
        </is>
      </c>
    </row>
    <row r="14">
      <c r="A14" s="8" t="inlineStr">
        <is>
          <t>20260526-0020</t>
        </is>
      </c>
      <c r="B14" s="8" t="inlineStr">
        <is>
          <t>남도현</t>
        </is>
      </c>
      <c r="C14" s="8" t="inlineStr">
        <is>
          <t>경남 창원시 의창구 중앙대로 151</t>
        </is>
      </c>
      <c r="D14" s="8" t="inlineStr">
        <is>
          <t>한진택배</t>
        </is>
      </c>
      <c r="E14" s="8" t="inlineStr">
        <is>
          <t>412345678913</t>
        </is>
      </c>
      <c r="F14" s="8" t="inlineStr">
        <is>
          <t>2026-05-26</t>
        </is>
      </c>
      <c r="G14" s="8" t="inlineStr">
        <is>
          <t>배송완료</t>
        </is>
      </c>
      <c r="H14" s="8" t="inlineStr">
        <is>
          <t>2026-05-28</t>
        </is>
      </c>
      <c r="I14" s="8" t="inlineStr"/>
    </row>
  </sheetData>
  <autoFilter ref="A1:I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0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0" customWidth="1" min="9" max="9"/>
  </cols>
  <sheetData>
    <row r="1">
      <c r="A1" s="7" t="inlineStr">
        <is>
          <t>SKU</t>
        </is>
      </c>
      <c r="B1" s="7" t="inlineStr">
        <is>
          <t>상품명</t>
        </is>
      </c>
      <c r="C1" s="7" t="inlineStr">
        <is>
          <t>옵션</t>
        </is>
      </c>
      <c r="D1" s="7" t="inlineStr">
        <is>
          <t>현재고</t>
        </is>
      </c>
      <c r="E1" s="7" t="inlineStr">
        <is>
          <t>안전재고</t>
        </is>
      </c>
      <c r="F1" s="7" t="inlineStr">
        <is>
          <t>입고예정</t>
        </is>
      </c>
      <c r="G1" s="7" t="inlineStr">
        <is>
          <t>매입가</t>
        </is>
      </c>
      <c r="H1" s="7" t="inlineStr">
        <is>
          <t>판매가</t>
        </is>
      </c>
      <c r="I1" s="7" t="inlineStr">
        <is>
          <t>재고상태</t>
        </is>
      </c>
    </row>
    <row r="2">
      <c r="A2" s="8" t="inlineStr">
        <is>
          <t>SKU-001</t>
        </is>
      </c>
      <c r="B2" s="8" t="inlineStr">
        <is>
          <t>제주 감귤즙 100ml x30포</t>
        </is>
      </c>
      <c r="C2" s="8" t="inlineStr">
        <is>
          <t>1박스</t>
        </is>
      </c>
      <c r="D2" s="8" t="n">
        <v>128</v>
      </c>
      <c r="E2" s="8" t="n">
        <v>40</v>
      </c>
      <c r="F2" s="8" t="n">
        <v>0</v>
      </c>
      <c r="G2" s="9" t="n">
        <v>12000</v>
      </c>
      <c r="H2" s="9" t="n">
        <v>19900</v>
      </c>
      <c r="I2" s="8">
        <f>IF(D2=0,"품절",IF(D2&lt;E2,"부족","정상"))</f>
        <v/>
      </c>
    </row>
    <row r="3">
      <c r="A3" s="8" t="inlineStr">
        <is>
          <t>SKU-002</t>
        </is>
      </c>
      <c r="B3" s="8" t="inlineStr">
        <is>
          <t>유기농 현미 5kg</t>
        </is>
      </c>
      <c r="C3" s="8" t="inlineStr">
        <is>
          <t>5kg</t>
        </is>
      </c>
      <c r="D3" s="8" t="n">
        <v>36</v>
      </c>
      <c r="E3" s="8" t="n">
        <v>40</v>
      </c>
      <c r="F3" s="8" t="n">
        <v>100</v>
      </c>
      <c r="G3" s="9" t="n">
        <v>14000</v>
      </c>
      <c r="H3" s="9" t="n">
        <v>23000</v>
      </c>
      <c r="I3" s="8">
        <f>IF(D3=0,"품절",IF(D3&lt;E3,"부족","정상"))</f>
        <v/>
      </c>
    </row>
    <row r="4">
      <c r="A4" s="8" t="inlineStr">
        <is>
          <t>SKU-003</t>
        </is>
      </c>
      <c r="B4" s="8" t="inlineStr">
        <is>
          <t>친환경 주방세제 1L</t>
        </is>
      </c>
      <c r="C4" s="8" t="inlineStr">
        <is>
          <t>2개세트</t>
        </is>
      </c>
      <c r="D4" s="8" t="n">
        <v>210</v>
      </c>
      <c r="E4" s="8" t="n">
        <v>50</v>
      </c>
      <c r="F4" s="8" t="n">
        <v>0</v>
      </c>
      <c r="G4" s="9" t="n">
        <v>6000</v>
      </c>
      <c r="H4" s="9" t="n">
        <v>12900</v>
      </c>
      <c r="I4" s="8">
        <f>IF(D4=0,"품절",IF(D4&lt;E4,"부족","정상"))</f>
        <v/>
      </c>
    </row>
    <row r="5">
      <c r="A5" s="8" t="inlineStr">
        <is>
          <t>SKU-004</t>
        </is>
      </c>
      <c r="B5" s="8" t="inlineStr">
        <is>
          <t>강원 곤드레나물 500g</t>
        </is>
      </c>
      <c r="C5" s="8" t="inlineStr">
        <is>
          <t>500g</t>
        </is>
      </c>
      <c r="D5" s="8" t="n">
        <v>0</v>
      </c>
      <c r="E5" s="8" t="n">
        <v>30</v>
      </c>
      <c r="F5" s="8" t="n">
        <v>80</v>
      </c>
      <c r="G5" s="9" t="n">
        <v>5000</v>
      </c>
      <c r="H5" s="9" t="n">
        <v>9900</v>
      </c>
      <c r="I5" s="8">
        <f>IF(D5=0,"품절",IF(D5&lt;E5,"부족","정상"))</f>
        <v/>
      </c>
    </row>
    <row r="6">
      <c r="A6" s="8" t="inlineStr">
        <is>
          <t>SKU-005</t>
        </is>
      </c>
      <c r="B6" s="8" t="inlineStr">
        <is>
          <t>국산 들기름 500ml</t>
        </is>
      </c>
      <c r="C6" s="8" t="inlineStr">
        <is>
          <t>500ml</t>
        </is>
      </c>
      <c r="D6" s="8" t="n">
        <v>54</v>
      </c>
      <c r="E6" s="8" t="n">
        <v>30</v>
      </c>
      <c r="F6" s="8" t="n">
        <v>0</v>
      </c>
      <c r="G6" s="9" t="n">
        <v>9000</v>
      </c>
      <c r="H6" s="9" t="n">
        <v>16900</v>
      </c>
      <c r="I6" s="8">
        <f>IF(D6=0,"품절",IF(D6&lt;E6,"부족","정상"))</f>
        <v/>
      </c>
    </row>
    <row r="7">
      <c r="A7" s="8" t="inlineStr">
        <is>
          <t>SKU-006</t>
        </is>
      </c>
      <c r="B7" s="8" t="inlineStr">
        <is>
          <t>히말라야 핑크솔트 1kg</t>
        </is>
      </c>
      <c r="C7" s="8" t="inlineStr">
        <is>
          <t>1kg</t>
        </is>
      </c>
      <c r="D7" s="8" t="n">
        <v>96</v>
      </c>
      <c r="E7" s="8" t="n">
        <v>40</v>
      </c>
      <c r="F7" s="8" t="n">
        <v>0</v>
      </c>
      <c r="G7" s="9" t="n">
        <v>4000</v>
      </c>
      <c r="H7" s="9" t="n">
        <v>8900</v>
      </c>
      <c r="I7" s="8">
        <f>IF(D7=0,"품절",IF(D7&lt;E7,"부족","정상"))</f>
        <v/>
      </c>
    </row>
    <row r="8">
      <c r="A8" s="8" t="inlineStr">
        <is>
          <t>SKU-007</t>
        </is>
      </c>
      <c r="B8" s="8" t="inlineStr">
        <is>
          <t>제주 한라봉 5kg</t>
        </is>
      </c>
      <c r="C8" s="8" t="inlineStr">
        <is>
          <t>5kg</t>
        </is>
      </c>
      <c r="D8" s="8" t="n">
        <v>22</v>
      </c>
      <c r="E8" s="8" t="n">
        <v>25</v>
      </c>
      <c r="F8" s="8" t="n">
        <v>60</v>
      </c>
      <c r="G8" s="9" t="n">
        <v>18000</v>
      </c>
      <c r="H8" s="9" t="n">
        <v>32000</v>
      </c>
      <c r="I8" s="8">
        <f>IF(D8=0,"품절",IF(D8&lt;E8,"부족","정상"))</f>
        <v/>
      </c>
    </row>
    <row r="9">
      <c r="A9" s="8" t="inlineStr">
        <is>
          <t>SKU-008</t>
        </is>
      </c>
      <c r="B9" s="8" t="inlineStr">
        <is>
          <t>발효 흑마늘즙 70ml x30</t>
        </is>
      </c>
      <c r="C9" s="8" t="inlineStr">
        <is>
          <t>1박스</t>
        </is>
      </c>
      <c r="D9" s="8" t="n">
        <v>71</v>
      </c>
      <c r="E9" s="8" t="n">
        <v>30</v>
      </c>
      <c r="F9" s="8" t="n">
        <v>0</v>
      </c>
      <c r="G9" s="9" t="n">
        <v>15000</v>
      </c>
      <c r="H9" s="9" t="n">
        <v>25900</v>
      </c>
      <c r="I9" s="8">
        <f>IF(D9=0,"품절",IF(D9&lt;E9,"부족","정상"))</f>
        <v/>
      </c>
    </row>
  </sheetData>
  <autoFilter ref="A1:I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2" customWidth="1" min="4" max="4"/>
    <col width="11" customWidth="1" min="5" max="5"/>
    <col width="11" customWidth="1" min="6" max="6"/>
    <col width="13" customWidth="1" min="7" max="7"/>
  </cols>
  <sheetData>
    <row r="1">
      <c r="A1" s="7" t="inlineStr">
        <is>
          <t>날짜</t>
        </is>
      </c>
      <c r="B1" s="7" t="inlineStr">
        <is>
          <t>주문건수</t>
        </is>
      </c>
      <c r="C1" s="7" t="inlineStr">
        <is>
          <t>매출액</t>
        </is>
      </c>
      <c r="D1" s="7" t="inlineStr">
        <is>
          <t>마켓수수료</t>
        </is>
      </c>
      <c r="E1" s="7" t="inlineStr">
        <is>
          <t>광고비</t>
        </is>
      </c>
      <c r="F1" s="7" t="inlineStr">
        <is>
          <t>환불액</t>
        </is>
      </c>
      <c r="G1" s="7" t="inlineStr">
        <is>
          <t>순이익</t>
        </is>
      </c>
    </row>
    <row r="2">
      <c r="A2" s="8" t="inlineStr">
        <is>
          <t>2026-05-26</t>
        </is>
      </c>
      <c r="B2" s="8" t="n">
        <v>6</v>
      </c>
      <c r="C2" s="9" t="n">
        <v>318600</v>
      </c>
      <c r="D2" s="9" t="n">
        <v>38232</v>
      </c>
      <c r="E2" s="9" t="n">
        <v>25000</v>
      </c>
      <c r="F2" s="9" t="n">
        <v>0</v>
      </c>
      <c r="G2" s="9">
        <f>C2-D2-E2-F2</f>
        <v/>
      </c>
    </row>
    <row r="3">
      <c r="A3" s="8" t="inlineStr">
        <is>
          <t>2026-05-27</t>
        </is>
      </c>
      <c r="B3" s="8" t="n">
        <v>5</v>
      </c>
      <c r="C3" s="9" t="n">
        <v>212400</v>
      </c>
      <c r="D3" s="9" t="n">
        <v>25488</v>
      </c>
      <c r="E3" s="9" t="n">
        <v>20000</v>
      </c>
      <c r="F3" s="9" t="n">
        <v>0</v>
      </c>
      <c r="G3" s="9">
        <f>C3-D3-E3-F3</f>
        <v/>
      </c>
    </row>
    <row r="4">
      <c r="A4" s="8" t="inlineStr">
        <is>
          <t>2026-05-28</t>
        </is>
      </c>
      <c r="B4" s="8" t="n">
        <v>4</v>
      </c>
      <c r="C4" s="9" t="n">
        <v>156700</v>
      </c>
      <c r="D4" s="9" t="n">
        <v>18804</v>
      </c>
      <c r="E4" s="9" t="n">
        <v>18000</v>
      </c>
      <c r="F4" s="9" t="n">
        <v>12900</v>
      </c>
      <c r="G4" s="9">
        <f>C4-D4-E4-F4</f>
        <v/>
      </c>
    </row>
    <row r="5">
      <c r="A5" s="8" t="inlineStr">
        <is>
          <t>2026-05-29</t>
        </is>
      </c>
      <c r="B5" s="8" t="n">
        <v>5</v>
      </c>
      <c r="C5" s="9" t="n">
        <v>189300</v>
      </c>
      <c r="D5" s="9" t="n">
        <v>22716</v>
      </c>
      <c r="E5" s="9" t="n">
        <v>15000</v>
      </c>
      <c r="F5" s="9" t="n">
        <v>16900</v>
      </c>
      <c r="G5" s="9">
        <f>C5-D5-E5-F5</f>
        <v/>
      </c>
    </row>
    <row r="6">
      <c r="A6" s="8" t="inlineStr">
        <is>
          <t>2026-05-30</t>
        </is>
      </c>
      <c r="B6" s="8" t="n">
        <v>7</v>
      </c>
      <c r="C6" s="9" t="n">
        <v>401800</v>
      </c>
      <c r="D6" s="9" t="n">
        <v>48216</v>
      </c>
      <c r="E6" s="9" t="n">
        <v>30000</v>
      </c>
      <c r="F6" s="9" t="n">
        <v>0</v>
      </c>
      <c r="G6" s="9">
        <f>C6-D6-E6-F6</f>
        <v/>
      </c>
    </row>
    <row r="7">
      <c r="A7" s="8" t="inlineStr">
        <is>
          <t>2026-05-31</t>
        </is>
      </c>
      <c r="B7" s="8" t="n">
        <v>6</v>
      </c>
      <c r="C7" s="9" t="n">
        <v>238500</v>
      </c>
      <c r="D7" s="9" t="n">
        <v>28620</v>
      </c>
      <c r="E7" s="9" t="n">
        <v>22000</v>
      </c>
      <c r="F7" s="9" t="n">
        <v>0</v>
      </c>
      <c r="G7" s="9">
        <f>C7-D7-E7-F7</f>
        <v/>
      </c>
    </row>
    <row r="8">
      <c r="A8" s="8" t="inlineStr">
        <is>
          <t>2026-06-01</t>
        </is>
      </c>
      <c r="B8" s="8" t="n">
        <v>8</v>
      </c>
      <c r="C8" s="9" t="n">
        <v>512300</v>
      </c>
      <c r="D8" s="9" t="n">
        <v>61476</v>
      </c>
      <c r="E8" s="9" t="n">
        <v>35000</v>
      </c>
      <c r="F8" s="9" t="n">
        <v>0</v>
      </c>
      <c r="G8" s="9">
        <f>C8-D8-E8-F8</f>
        <v/>
      </c>
    </row>
    <row r="9">
      <c r="A9" s="8" t="inlineStr">
        <is>
          <t>2026-06-02</t>
        </is>
      </c>
      <c r="B9" s="8" t="n">
        <v>5</v>
      </c>
      <c r="C9" s="9" t="n">
        <v>165500</v>
      </c>
      <c r="D9" s="9" t="n">
        <v>19860</v>
      </c>
      <c r="E9" s="9" t="n">
        <v>18000</v>
      </c>
      <c r="F9" s="9" t="n">
        <v>0</v>
      </c>
      <c r="G9" s="9">
        <f>C9-D9-E9-F9</f>
        <v/>
      </c>
    </row>
    <row r="10">
      <c r="A10" s="10" t="inlineStr">
        <is>
          <t>합계</t>
        </is>
      </c>
      <c r="B10" s="10">
        <f>SUM(B2:B9)</f>
        <v/>
      </c>
      <c r="C10" s="11">
        <f>SUM(C2:C9)</f>
        <v/>
      </c>
      <c r="D10" s="11">
        <f>SUM(D2:D9)</f>
        <v/>
      </c>
      <c r="E10" s="11">
        <f>SUM(E2:E9)</f>
        <v/>
      </c>
      <c r="F10" s="11">
        <f>SUM(F2:F9)</f>
        <v/>
      </c>
      <c r="G10" s="11">
        <f>SUM(G2:G9)</f>
        <v/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2026-06-02T13:52:28Z</dcterms:created>
  <dcterms:modified xmlns:dcterms="http://purl.org/dc/terms/" xmlns:xsi="http://www.w3.org/2001/XMLSchema-instance" xsi:type="dcterms:W3CDTF">2026-06-02T13:52:28Z</dcterms:modified>
</cp:coreProperties>
</file>